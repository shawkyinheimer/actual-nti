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T &amp; CPM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&quot; Days&quot;"/>
    <numFmt numFmtId="166" formatCode="0.0&quot; Days&quot;"/>
    <numFmt numFmtId="167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1F4E78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F4E78"/>
      <sz val="12"/>
    </font>
    <font>
      <name val="Segoe UI"/>
      <b val="1"/>
      <color rgb="001F4E78"/>
      <sz val="18"/>
    </font>
    <font>
      <name val="Segoe UI"/>
      <b val="1"/>
      <sz val="12"/>
    </font>
    <font>
      <name val="Segoe UI"/>
      <b val="1"/>
      <color rgb="00006666"/>
      <sz val="12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EBF1F5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006666"/>
        <bgColor rgb="000066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165" fontId="7" fillId="5" borderId="0" applyAlignment="1" pivotButton="0" quotePrefix="0" xfId="0">
      <alignment horizontal="center" vertical="center" wrapText="1"/>
    </xf>
    <xf numFmtId="2" fontId="7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6" fontId="8" fillId="4" borderId="0" applyAlignment="1" pivotButton="0" quotePrefix="0" xfId="0">
      <alignment horizontal="center" vertical="center" wrapText="1"/>
    </xf>
    <xf numFmtId="2" fontId="8" fillId="0" borderId="0" applyAlignment="1" pivotButton="0" quotePrefix="0" xfId="0">
      <alignment horizontal="center" vertical="center" wrapText="1"/>
    </xf>
    <xf numFmtId="167" fontId="9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name val="Segoe UI"/>
        <b val="1"/>
        <color rgb="00C00000"/>
        <sz val="10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3" customWidth="1" min="4" max="4"/>
    <col width="14" customWidth="1" min="5" max="5"/>
    <col width="14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5" customWidth="1" min="14" max="14"/>
  </cols>
  <sheetData>
    <row r="1">
      <c r="A1" s="1" t="inlineStr">
        <is>
          <t>PROJECT MANAGEMENT: PERT &amp; CPM INTERACTIVE MODEL</t>
        </is>
      </c>
    </row>
    <row r="2">
      <c r="A2" s="2" t="inlineStr">
        <is>
          <t>Data Engineering &amp; Application Deployment Project</t>
        </is>
      </c>
    </row>
    <row r="4">
      <c r="A4" s="3" t="inlineStr">
        <is>
          <t>💡 Note: You can modify the Optimistic (a), Most Likely (m), and Pessimistic (b) estimates below. All PERT parameters, ES/EF/LS/LF, float, critical path flags, and project completion metrics update automatically!</t>
        </is>
      </c>
    </row>
    <row r="6" ht="28" customHeight="1">
      <c r="A6" s="4" t="inlineStr">
        <is>
          <t>Activity Code</t>
        </is>
      </c>
      <c r="B6" s="4" t="inlineStr">
        <is>
          <t>Activity Description</t>
        </is>
      </c>
      <c r="C6" s="4" t="inlineStr">
        <is>
          <t>Predecessors</t>
        </is>
      </c>
      <c r="D6" s="4" t="inlineStr">
        <is>
          <t>Optimistic (a)</t>
        </is>
      </c>
      <c r="E6" s="4" t="inlineStr">
        <is>
          <t>Most Likely (m)</t>
        </is>
      </c>
      <c r="F6" s="4" t="inlineStr">
        <is>
          <t>Pessimistic (b)</t>
        </is>
      </c>
      <c r="G6" s="4" t="inlineStr">
        <is>
          <t>Expected Duration (TE)</t>
        </is>
      </c>
      <c r="H6" s="4" t="inlineStr">
        <is>
          <t>Variance (σ²)</t>
        </is>
      </c>
      <c r="I6" s="4" t="inlineStr">
        <is>
          <t>Early Start (ES)</t>
        </is>
      </c>
      <c r="J6" s="4" t="inlineStr">
        <is>
          <t>Early Finish (EF)</t>
        </is>
      </c>
      <c r="K6" s="4" t="inlineStr">
        <is>
          <t>Late Start (LS)</t>
        </is>
      </c>
      <c r="L6" s="4" t="inlineStr">
        <is>
          <t>Late Finish (LF)</t>
        </is>
      </c>
      <c r="M6" s="4" t="inlineStr">
        <is>
          <t>Total Slack / Float</t>
        </is>
      </c>
      <c r="N6" s="4" t="inlineStr">
        <is>
          <t>Is Critical Path?</t>
        </is>
      </c>
    </row>
    <row r="7" ht="22" customHeight="1">
      <c r="A7" s="5" t="inlineStr">
        <is>
          <t>A</t>
        </is>
      </c>
      <c r="B7" s="6" t="inlineStr">
        <is>
          <t>Collect existing data</t>
        </is>
      </c>
      <c r="C7" s="5" t="inlineStr">
        <is>
          <t>None</t>
        </is>
      </c>
      <c r="D7" s="7" t="n">
        <v>1</v>
      </c>
      <c r="E7" s="7" t="n">
        <v>2</v>
      </c>
      <c r="F7" s="7" t="n">
        <v>3</v>
      </c>
      <c r="G7" s="8">
        <f>(D7 + 4*E7 + F7)/6</f>
        <v/>
      </c>
      <c r="H7" s="8">
        <f>((F7 - D7)/6)^2</f>
        <v/>
      </c>
      <c r="I7" s="8" t="n">
        <v>0</v>
      </c>
      <c r="J7" s="8">
        <f>I7 + G7</f>
        <v/>
      </c>
      <c r="K7" s="8">
        <f>L7 - G7</f>
        <v/>
      </c>
      <c r="L7" s="8">
        <f>K8</f>
        <v/>
      </c>
      <c r="M7" s="8">
        <f>K7 - I7</f>
        <v/>
      </c>
      <c r="N7" s="5">
        <f>IF(M7&lt;=0.001, "YES", "NO")</f>
        <v/>
      </c>
    </row>
    <row r="8" ht="22" customHeight="1">
      <c r="A8" s="5" t="inlineStr">
        <is>
          <t>B</t>
        </is>
      </c>
      <c r="B8" s="6" t="inlineStr">
        <is>
          <t>Design Database / Data Structure</t>
        </is>
      </c>
      <c r="C8" s="5" t="inlineStr">
        <is>
          <t>A</t>
        </is>
      </c>
      <c r="D8" s="7" t="n">
        <v>2</v>
      </c>
      <c r="E8" s="7" t="n">
        <v>3</v>
      </c>
      <c r="F8" s="7" t="n">
        <v>6</v>
      </c>
      <c r="G8" s="8">
        <f>(D8 + 4*E8 + F8)/6</f>
        <v/>
      </c>
      <c r="H8" s="8">
        <f>((F8 - D8)/6)^2</f>
        <v/>
      </c>
      <c r="I8" s="8">
        <f>J7</f>
        <v/>
      </c>
      <c r="J8" s="8">
        <f>I8 + G8</f>
        <v/>
      </c>
      <c r="K8" s="8">
        <f>L8 - G8</f>
        <v/>
      </c>
      <c r="L8" s="8">
        <f>MIN(K9, K10, K11)</f>
        <v/>
      </c>
      <c r="M8" s="8">
        <f>K8 - I8</f>
        <v/>
      </c>
      <c r="N8" s="5">
        <f>IF(M8&lt;=0.001, "YES", "NO")</f>
        <v/>
      </c>
    </row>
    <row r="9" ht="22" customHeight="1">
      <c r="A9" s="5" t="inlineStr">
        <is>
          <t>C</t>
        </is>
      </c>
      <c r="B9" s="6" t="inlineStr">
        <is>
          <t>Digitize inventory / get insights</t>
        </is>
      </c>
      <c r="C9" s="5" t="inlineStr">
        <is>
          <t>B</t>
        </is>
      </c>
      <c r="D9" s="7" t="n">
        <v>2</v>
      </c>
      <c r="E9" s="7" t="n">
        <v>4</v>
      </c>
      <c r="F9" s="7" t="n">
        <v>6</v>
      </c>
      <c r="G9" s="8">
        <f>(D9 + 4*E9 + F9)/6</f>
        <v/>
      </c>
      <c r="H9" s="8">
        <f>((F9 - D9)/6)^2</f>
        <v/>
      </c>
      <c r="I9" s="8">
        <f>J8</f>
        <v/>
      </c>
      <c r="J9" s="8">
        <f>I9 + G9</f>
        <v/>
      </c>
      <c r="K9" s="8">
        <f>L9 - G9</f>
        <v/>
      </c>
      <c r="L9" s="8">
        <f>K13</f>
        <v/>
      </c>
      <c r="M9" s="8">
        <f>K9 - I9</f>
        <v/>
      </c>
      <c r="N9" s="5">
        <f>IF(M9&lt;=0.001, "YES", "NO")</f>
        <v/>
      </c>
    </row>
    <row r="10" ht="22" customHeight="1">
      <c r="A10" s="5" t="inlineStr">
        <is>
          <t>D</t>
        </is>
      </c>
      <c r="B10" s="6" t="inlineStr">
        <is>
          <t>Digitize transactions / get insights</t>
        </is>
      </c>
      <c r="C10" s="5" t="inlineStr">
        <is>
          <t>B</t>
        </is>
      </c>
      <c r="D10" s="7" t="n">
        <v>3</v>
      </c>
      <c r="E10" s="7" t="n">
        <v>5</v>
      </c>
      <c r="F10" s="7" t="n">
        <v>7</v>
      </c>
      <c r="G10" s="8">
        <f>(D10 + 4*E10 + F10)/6</f>
        <v/>
      </c>
      <c r="H10" s="8">
        <f>((F10 - D10)/6)^2</f>
        <v/>
      </c>
      <c r="I10" s="8">
        <f>J8</f>
        <v/>
      </c>
      <c r="J10" s="8">
        <f>I10 + G10</f>
        <v/>
      </c>
      <c r="K10" s="8">
        <f>L10 - G10</f>
        <v/>
      </c>
      <c r="L10" s="8">
        <f>K13</f>
        <v/>
      </c>
      <c r="M10" s="8">
        <f>K10 - I10</f>
        <v/>
      </c>
      <c r="N10" s="5">
        <f>IF(M10&lt;=0.001, "YES", "NO")</f>
        <v/>
      </c>
    </row>
    <row r="11" ht="22" customHeight="1">
      <c r="A11" s="5" t="inlineStr">
        <is>
          <t>E</t>
        </is>
      </c>
      <c r="B11" s="6" t="inlineStr">
        <is>
          <t>Build New Application for new data</t>
        </is>
      </c>
      <c r="C11" s="5" t="inlineStr">
        <is>
          <t>B</t>
        </is>
      </c>
      <c r="D11" s="7" t="n">
        <v>4</v>
      </c>
      <c r="E11" s="7" t="n">
        <v>7</v>
      </c>
      <c r="F11" s="7" t="n">
        <v>10</v>
      </c>
      <c r="G11" s="8">
        <f>(D11 + 4*E11 + F11)/6</f>
        <v/>
      </c>
      <c r="H11" s="8">
        <f>((F11 - D11)/6)^2</f>
        <v/>
      </c>
      <c r="I11" s="8">
        <f>J8</f>
        <v/>
      </c>
      <c r="J11" s="8">
        <f>I11 + G11</f>
        <v/>
      </c>
      <c r="K11" s="8">
        <f>L11 - G11</f>
        <v/>
      </c>
      <c r="L11" s="8">
        <f>K12</f>
        <v/>
      </c>
      <c r="M11" s="8">
        <f>K11 - I11</f>
        <v/>
      </c>
      <c r="N11" s="5">
        <f>IF(M11&lt;=0.001, "YES", "NO")</f>
        <v/>
      </c>
    </row>
    <row r="12" ht="22" customHeight="1">
      <c r="A12" s="5" t="inlineStr">
        <is>
          <t>F</t>
        </is>
      </c>
      <c r="B12" s="6" t="inlineStr">
        <is>
          <t>Deploy new app</t>
        </is>
      </c>
      <c r="C12" s="5" t="inlineStr">
        <is>
          <t>E</t>
        </is>
      </c>
      <c r="D12" s="7" t="n">
        <v>1</v>
      </c>
      <c r="E12" s="7" t="n">
        <v>2</v>
      </c>
      <c r="F12" s="7" t="n">
        <v>3</v>
      </c>
      <c r="G12" s="8">
        <f>(D12 + 4*E12 + F12)/6</f>
        <v/>
      </c>
      <c r="H12" s="8">
        <f>((F12 - D12)/6)^2</f>
        <v/>
      </c>
      <c r="I12" s="8">
        <f>J11</f>
        <v/>
      </c>
      <c r="J12" s="8">
        <f>I12 + G12</f>
        <v/>
      </c>
      <c r="K12" s="8">
        <f>L12 - G12</f>
        <v/>
      </c>
      <c r="L12" s="8">
        <f>K13</f>
        <v/>
      </c>
      <c r="M12" s="8">
        <f>K12 - I12</f>
        <v/>
      </c>
      <c r="N12" s="5">
        <f>IF(M12&lt;=0.001, "YES", "NO")</f>
        <v/>
      </c>
    </row>
    <row r="13" ht="22" customHeight="1">
      <c r="A13" s="5" t="inlineStr">
        <is>
          <t>G</t>
        </is>
      </c>
      <c r="B13" s="6" t="inlineStr">
        <is>
          <t>Exploratory Data Analysis (EDA)</t>
        </is>
      </c>
      <c r="C13" s="5" t="inlineStr">
        <is>
          <t>C, D, F</t>
        </is>
      </c>
      <c r="D13" s="7" t="n">
        <v>3</v>
      </c>
      <c r="E13" s="7" t="n">
        <v>4</v>
      </c>
      <c r="F13" s="7" t="n">
        <v>8</v>
      </c>
      <c r="G13" s="8">
        <f>(D13 + 4*E13 + F13)/6</f>
        <v/>
      </c>
      <c r="H13" s="8">
        <f>((F13 - D13)/6)^2</f>
        <v/>
      </c>
      <c r="I13" s="8">
        <f>MAX(J9, J10, J12)</f>
        <v/>
      </c>
      <c r="J13" s="8">
        <f>I13 + G13</f>
        <v/>
      </c>
      <c r="K13" s="8">
        <f>L13 - G13</f>
        <v/>
      </c>
      <c r="L13" s="8">
        <f>K14</f>
        <v/>
      </c>
      <c r="M13" s="8">
        <f>K13 - I13</f>
        <v/>
      </c>
      <c r="N13" s="5">
        <f>IF(M13&lt;=0.001, "YES", "NO")</f>
        <v/>
      </c>
    </row>
    <row r="14" ht="22" customHeight="1">
      <c r="A14" s="5" t="inlineStr">
        <is>
          <t>H</t>
        </is>
      </c>
      <c r="B14" s="6" t="inlineStr">
        <is>
          <t>Business Analysis</t>
        </is>
      </c>
      <c r="C14" s="5" t="inlineStr">
        <is>
          <t>G</t>
        </is>
      </c>
      <c r="D14" s="7" t="n">
        <v>2</v>
      </c>
      <c r="E14" s="7" t="n">
        <v>3</v>
      </c>
      <c r="F14" s="7" t="n">
        <v>4</v>
      </c>
      <c r="G14" s="8">
        <f>(D14 + 4*E14 + F14)/6</f>
        <v/>
      </c>
      <c r="H14" s="8">
        <f>((F14 - D14)/6)^2</f>
        <v/>
      </c>
      <c r="I14" s="8">
        <f>J13</f>
        <v/>
      </c>
      <c r="J14" s="8">
        <f>I14 + G14</f>
        <v/>
      </c>
      <c r="K14" s="8">
        <f>L14 - G14</f>
        <v/>
      </c>
      <c r="L14" s="8">
        <f>J14</f>
        <v/>
      </c>
      <c r="M14" s="8">
        <f>K14 - I14</f>
        <v/>
      </c>
      <c r="N14" s="5">
        <f>IF(M14&lt;=0.001, "YES", "NO")</f>
        <v/>
      </c>
    </row>
    <row r="17">
      <c r="A17" s="9" t="inlineStr">
        <is>
          <t>PERT &amp; CPM PROJECT SUMMARY DASHBOARD</t>
        </is>
      </c>
    </row>
    <row r="19">
      <c r="A19" s="10" t="inlineStr">
        <is>
          <t>Project Expected Duration (TE)</t>
        </is>
      </c>
      <c r="E19" s="10" t="inlineStr">
        <is>
          <t>Project Variance (σ²)</t>
        </is>
      </c>
      <c r="I19" s="10" t="inlineStr">
        <is>
          <t>Project Std Deviation (σ)</t>
        </is>
      </c>
    </row>
    <row r="20">
      <c r="A20" s="11">
        <f>J14</f>
        <v/>
      </c>
      <c r="E20" s="12">
        <f>SUMIF(N7:N14, "YES", H7:H14)</f>
        <v/>
      </c>
      <c r="I20" s="11">
        <f>SQRT(E20)</f>
        <v/>
      </c>
    </row>
    <row r="23">
      <c r="A23" s="9" t="inlineStr">
        <is>
          <t>Interactive Completion Probability Calculator</t>
        </is>
      </c>
    </row>
    <row r="25">
      <c r="A25" s="13" t="inlineStr">
        <is>
          <t>Target Completion Deadline (Days)</t>
        </is>
      </c>
      <c r="C25" s="13" t="inlineStr">
        <is>
          <t>Z-Score</t>
        </is>
      </c>
      <c r="E25" s="13" t="inlineStr">
        <is>
          <t>Completion Probability</t>
        </is>
      </c>
    </row>
    <row r="26">
      <c r="A26" s="14" t="n">
        <v>24</v>
      </c>
      <c r="C26" s="15">
        <f>(A26 - A20)/I20</f>
        <v/>
      </c>
      <c r="E26" s="16">
        <f>NORM.S.DIST(C26, TRUE)</f>
        <v/>
      </c>
    </row>
    <row r="29">
      <c r="A29" s="9" t="inlineStr">
        <is>
          <t>Network Paths Analysis</t>
        </is>
      </c>
    </row>
    <row r="31" ht="24" customHeight="1">
      <c r="A31" s="10" t="inlineStr">
        <is>
          <t>Path ID</t>
        </is>
      </c>
      <c r="C31" s="10" t="inlineStr">
        <is>
          <t>Path Description / Sequence</t>
        </is>
      </c>
      <c r="G31" s="10" t="inlineStr">
        <is>
          <t>Path Duration Formula</t>
        </is>
      </c>
      <c r="J31" s="10" t="inlineStr">
        <is>
          <t>Path Length (Days)</t>
        </is>
      </c>
      <c r="L31" s="10" t="inlineStr">
        <is>
          <t>Critical Path Status</t>
        </is>
      </c>
    </row>
    <row r="32" ht="20" customHeight="1">
      <c r="A32" s="17" t="inlineStr">
        <is>
          <t>Path 1 (Inventory Track)</t>
        </is>
      </c>
      <c r="B32" s="18" t="n"/>
      <c r="C32" s="17" t="inlineStr">
        <is>
          <t>A -&gt; B -&gt; C -&gt; G -&gt; H</t>
        </is>
      </c>
      <c r="D32" s="18" t="n"/>
      <c r="E32" s="18" t="n"/>
      <c r="F32" s="18" t="n"/>
      <c r="G32" s="19" t="inlineStr">
        <is>
          <t>Formula based on TE</t>
        </is>
      </c>
      <c r="H32" s="18" t="n"/>
      <c r="I32" s="18" t="n"/>
      <c r="J32" s="20">
        <f>G7+G8+G9+G13+G14</f>
        <v/>
      </c>
      <c r="K32" s="18" t="n"/>
      <c r="L32" s="21">
        <f>IF(J32=MAX($J$32:$J$34), "CRITICAL PATH", "Non-Critical")</f>
        <v/>
      </c>
      <c r="M32" s="18" t="n"/>
      <c r="N32" s="18" t="n"/>
    </row>
    <row r="33" ht="20" customHeight="1">
      <c r="A33" s="17" t="inlineStr">
        <is>
          <t>Path 2 (Transactions Track)</t>
        </is>
      </c>
      <c r="B33" s="18" t="n"/>
      <c r="C33" s="17" t="inlineStr">
        <is>
          <t>A -&gt; B -&gt; D -&gt; G -&gt; H</t>
        </is>
      </c>
      <c r="D33" s="18" t="n"/>
      <c r="E33" s="18" t="n"/>
      <c r="F33" s="18" t="n"/>
      <c r="G33" s="19" t="inlineStr">
        <is>
          <t>Formula based on TE</t>
        </is>
      </c>
      <c r="H33" s="18" t="n"/>
      <c r="I33" s="18" t="n"/>
      <c r="J33" s="20">
        <f>G7+G8+G10+G13+G14</f>
        <v/>
      </c>
      <c r="K33" s="18" t="n"/>
      <c r="L33" s="21">
        <f>IF(J33=MAX($J$32:$J$34), "CRITICAL PATH", "Non-Critical")</f>
        <v/>
      </c>
      <c r="M33" s="18" t="n"/>
      <c r="N33" s="18" t="n"/>
    </row>
    <row r="34" ht="20" customHeight="1">
      <c r="A34" s="17" t="inlineStr">
        <is>
          <t>Path 3 (New App Track)</t>
        </is>
      </c>
      <c r="B34" s="18" t="n"/>
      <c r="C34" s="17" t="inlineStr">
        <is>
          <t>A -&gt; B -&gt; E -&gt; F -&gt; G -&gt; H</t>
        </is>
      </c>
      <c r="D34" s="18" t="n"/>
      <c r="E34" s="18" t="n"/>
      <c r="F34" s="18" t="n"/>
      <c r="G34" s="19" t="inlineStr">
        <is>
          <t>Formula based on TE</t>
        </is>
      </c>
      <c r="H34" s="18" t="n"/>
      <c r="I34" s="18" t="n"/>
      <c r="J34" s="20">
        <f>G7+G8+G11+G12+G13+G14</f>
        <v/>
      </c>
      <c r="K34" s="18" t="n"/>
      <c r="L34" s="21">
        <f>IF(J34=MAX($J$32:$J$34), "CRITICAL PATH", "Non-Critical")</f>
        <v/>
      </c>
      <c r="M34" s="18" t="n"/>
      <c r="N34" s="18" t="n"/>
    </row>
  </sheetData>
  <mergeCells count="33">
    <mergeCell ref="L33:N33"/>
    <mergeCell ref="E19:G19"/>
    <mergeCell ref="G34:I34"/>
    <mergeCell ref="C32:F32"/>
    <mergeCell ref="C26:D26"/>
    <mergeCell ref="G33:I33"/>
    <mergeCell ref="J34:K34"/>
    <mergeCell ref="A25:B25"/>
    <mergeCell ref="C25:D25"/>
    <mergeCell ref="C34:F34"/>
    <mergeCell ref="L31:N31"/>
    <mergeCell ref="C33:F33"/>
    <mergeCell ref="L34:N34"/>
    <mergeCell ref="I20:K20"/>
    <mergeCell ref="A20:C20"/>
    <mergeCell ref="I19:K19"/>
    <mergeCell ref="A26:B26"/>
    <mergeCell ref="A19:C19"/>
    <mergeCell ref="G32:I32"/>
    <mergeCell ref="A33:B33"/>
    <mergeCell ref="G31:I31"/>
    <mergeCell ref="J32:K32"/>
    <mergeCell ref="A32:B32"/>
    <mergeCell ref="J31:K31"/>
    <mergeCell ref="E26:F26"/>
    <mergeCell ref="C31:F31"/>
    <mergeCell ref="L32:N32"/>
    <mergeCell ref="A4:N4"/>
    <mergeCell ref="E25:F25"/>
    <mergeCell ref="J33:K33"/>
    <mergeCell ref="A31:B31"/>
    <mergeCell ref="E20:G20"/>
    <mergeCell ref="A34:B34"/>
  </mergeCells>
  <conditionalFormatting sqref="N7:N14">
    <cfRule type="cellIs" priority="1" operator="equal" dxfId="0" stopIfTrue="1">
      <formula>"YES"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2026-08-17T13:36:01Z</dcterms:created>
  <dcterms:modified xsi:type="dcterms:W3CDTF">2026-08-17T13:36:01Z</dcterms:modified>
</cp:coreProperties>
</file>